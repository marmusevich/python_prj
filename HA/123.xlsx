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1D2171B-633C-4144-BC0E-FE9A6C03F0D1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Лист1" sheetId="1" r:id="rId1"/>
    <sheet name="Лист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F11" i="2" l="1"/>
  <c r="F17" i="1"/>
  <c r="F16" i="1"/>
  <c r="F15" i="1"/>
  <c r="F14" i="1"/>
  <c r="F13" i="1"/>
  <c r="F12" i="1"/>
  <c r="F11" i="1"/>
  <c r="F10" i="1"/>
  <c r="F9" i="1"/>
  <c r="F8" i="1"/>
  <c r="F7" i="1"/>
  <c r="F14" i="2"/>
  <c r="F13" i="2"/>
  <c r="F12" i="2"/>
  <c r="F10" i="2"/>
  <c r="F9" i="2"/>
  <c r="F8" i="2"/>
  <c r="F7" i="2"/>
  <c r="F6" i="2"/>
  <c r="F5" i="2"/>
  <c r="F4" i="2"/>
  <c r="F15" i="2" l="1"/>
</calcChain>
</file>

<file path=xl/sharedStrings.xml><?xml version="1.0" encoding="utf-8"?>
<sst xmlns="http://schemas.openxmlformats.org/spreadsheetml/2006/main" count="60" uniqueCount="27">
  <si>
    <t>№ п/п</t>
  </si>
  <si>
    <t>Наіменування робіт та витрат</t>
  </si>
  <si>
    <t>Одиниця виміру</t>
  </si>
  <si>
    <t>Кіл - ть</t>
  </si>
  <si>
    <t>Ціна за одиницю  грн.</t>
  </si>
  <si>
    <t>Сума                   грн</t>
  </si>
  <si>
    <t>Розділ 1:  Монтаж та робота</t>
  </si>
  <si>
    <t>Установка П.О на сервер</t>
  </si>
  <si>
    <t>шт</t>
  </si>
  <si>
    <t>Настройка визуализации умного дома</t>
  </si>
  <si>
    <t>Локальный доступ с др. носителей (телефон/планшет)</t>
  </si>
  <si>
    <t>Автоматизация систем вентиляции</t>
  </si>
  <si>
    <t xml:space="preserve">Автоматизация систем отопления -теплый пол </t>
  </si>
  <si>
    <t>Автоматизация систем отопления -конвнкторы</t>
  </si>
  <si>
    <t>Автоматизация освещения</t>
  </si>
  <si>
    <t>Программирование импульсного реле</t>
  </si>
  <si>
    <t>Интеграция сенсоров (температуры/влажности) теплого  пола  MODBUS Zig Bee</t>
  </si>
  <si>
    <t>Интеграция сенсоров (температуры/влажности) в комнатах Zig Bee</t>
  </si>
  <si>
    <t>Всього</t>
  </si>
  <si>
    <t>Сума
Грн</t>
  </si>
  <si>
    <t>андрей</t>
  </si>
  <si>
    <t>Интеграция сенсоров (температуры) теплого  пола  MODBUS</t>
  </si>
  <si>
    <t xml:space="preserve">Автоматизация систем отопления - теплый пол </t>
  </si>
  <si>
    <t>Автоматизация систем отопления - конвнкторы/радиаторы</t>
  </si>
  <si>
    <t>Ппрограммирование мастер выключения света</t>
  </si>
  <si>
    <t>в процесе</t>
  </si>
  <si>
    <t>пока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</si>
</sst>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р_."/>
  </numFmts>
  <fonts count="23" x14ac:knownFonts="1">
    <font>
      <sz val="10"/>
      <name val="Arial"/>
      <family val="2"/>
      <charset val="204"/>
    </font>
    <font>
      <b/>
      <sz val="8"/>
      <color rgb="FF000000"/>
      <name val="Arial"/>
      <family val="2"/>
      <charset val="204"/>
    </font>
    <font>
      <u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i/>
      <sz val="8"/>
      <color rgb="FF000000"/>
      <name val="Arial"/>
      <family val="2"/>
      <charset val="204"/>
    </font>
    <font>
      <u/>
      <sz val="12"/>
      <color rgb="FF000000"/>
      <name val="Arial"/>
      <family val="2"/>
      <charset val="204"/>
    </font>
    <font>
      <sz val="12"/>
      <name val="Arial Cyr"/>
      <charset val="204"/>
    </font>
    <font>
      <sz val="12"/>
      <name val="Arial"/>
      <family val="2"/>
      <charset val="204"/>
    </font>
    <font>
      <b/>
      <sz val="12"/>
      <name val="Arial Cyr"/>
      <family val="2"/>
      <charset val="204"/>
    </font>
    <font>
      <b/>
      <u/>
      <sz val="12"/>
      <name val="Arial Cyr"/>
      <family val="2"/>
      <charset val="204"/>
    </font>
    <font>
      <b/>
      <sz val="12"/>
      <color rgb="FFC9211E"/>
      <name val="Arial Cyr"/>
      <family val="2"/>
      <charset val="204"/>
    </font>
    <font>
      <i/>
      <sz val="12"/>
      <name val="Arial Cyr"/>
      <family val="2"/>
      <charset val="204"/>
    </font>
    <font>
      <b/>
      <i/>
      <sz val="12"/>
      <color rgb="FFFF0000"/>
      <name val="Arial"/>
      <family val="2"/>
      <charset val="204"/>
    </font>
    <font>
      <b/>
      <sz val="12"/>
      <color rgb="FFFF0000"/>
      <name val="Arial Cyr"/>
      <charset val="204"/>
    </font>
    <font>
      <i/>
      <u/>
      <sz val="10"/>
      <name val="Arial Cyr"/>
      <charset val="204"/>
    </font>
    <font>
      <b/>
      <i/>
      <sz val="9"/>
      <color rgb="FF000000"/>
      <name val="Arial"/>
      <family val="2"/>
      <charset val="204"/>
    </font>
    <font>
      <i/>
      <sz val="9"/>
      <name val="Arial Cyr"/>
      <charset val="204"/>
    </font>
    <font>
      <u/>
      <sz val="10"/>
      <color rgb="FF000000"/>
      <name val="Arial"/>
      <family val="2"/>
      <charset val="204"/>
    </font>
    <font>
      <u/>
      <sz val="10"/>
      <name val="Arial Cyr"/>
      <charset val="204"/>
    </font>
    <font>
      <b/>
      <u/>
      <sz val="10"/>
      <name val="Arial Cyr"/>
      <charset val="204"/>
    </font>
    <font>
      <i/>
      <sz val="12"/>
      <name val="Arial"/>
      <family val="2"/>
      <charset val="204"/>
    </font>
    <font>
      <b/>
      <i/>
      <sz val="14"/>
      <name val="Arial"/>
      <family val="2"/>
      <charset val="204"/>
    </font>
    <font>
      <b/>
      <sz val="14"/>
      <name val="Arial Cyr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8">
    <xf numFmtId="0" fontId="0" fillId="0" borderId="0"/>
    <xf numFmtId="0" fontId="1" fillId="0" borderId="0">
      <alignment horizontal="center" vertical="center"/>
    </xf>
    <xf numFmtId="0" fontId="2" fillId="0" borderId="0">
      <alignment horizontal="left" vertical="center"/>
    </xf>
    <xf numFmtId="0" fontId="2" fillId="0" borderId="0">
      <alignment horizontal="center" vertical="center"/>
    </xf>
    <xf numFmtId="0" fontId="3" fillId="0" borderId="0">
      <alignment horizontal="left" vertical="center"/>
    </xf>
    <xf numFmtId="0" fontId="3" fillId="0" borderId="0">
      <alignment horizontal="left" vertical="center"/>
    </xf>
    <xf numFmtId="0" fontId="1" fillId="0" borderId="1">
      <alignment horizontal="left" vertical="center"/>
    </xf>
    <xf numFmtId="0" fontId="4" fillId="0" borderId="1">
      <alignment horizontal="left" vertical="center"/>
    </xf>
  </cellStyleXfs>
  <cellXfs count="50">
    <xf numFmtId="0" fontId="0" fillId="0" borderId="0" xfId="0"/>
    <xf numFmtId="0" fontId="8" fillId="0" borderId="0" xfId="0" applyFont="1"/>
    <xf numFmtId="0" fontId="9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0" fontId="10" fillId="0" borderId="0" xfId="0" applyFont="1"/>
    <xf numFmtId="0" fontId="11" fillId="0" borderId="0" xfId="0" applyFont="1" applyAlignment="1">
      <alignment horizontal="center"/>
    </xf>
    <xf numFmtId="2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/>
    </xf>
    <xf numFmtId="0" fontId="15" fillId="0" borderId="0" xfId="7" applyFont="1" applyBorder="1">
      <alignment horizontal="left" vertical="center"/>
    </xf>
    <xf numFmtId="164" fontId="16" fillId="0" borderId="0" xfId="0" applyNumberFormat="1" applyFont="1" applyAlignment="1">
      <alignment horizontal="center"/>
    </xf>
    <xf numFmtId="0" fontId="3" fillId="0" borderId="0" xfId="4">
      <alignment horizontal="left" vertical="center"/>
    </xf>
    <xf numFmtId="0" fontId="17" fillId="0" borderId="0" xfId="4" applyFont="1">
      <alignment horizontal="left" vertical="center"/>
    </xf>
    <xf numFmtId="0" fontId="18" fillId="0" borderId="0" xfId="0" applyFont="1"/>
    <xf numFmtId="0" fontId="3" fillId="0" borderId="0" xfId="5">
      <alignment horizontal="left" vertical="center"/>
    </xf>
    <xf numFmtId="0" fontId="0" fillId="0" borderId="0" xfId="0" applyAlignment="1">
      <alignment horizontal="center"/>
    </xf>
    <xf numFmtId="0" fontId="12" fillId="0" borderId="0" xfId="7" applyFont="1" applyBorder="1" applyAlignment="1">
      <alignment horizontal="right" vertical="center" wrapText="1"/>
    </xf>
    <xf numFmtId="0" fontId="19" fillId="0" borderId="0" xfId="0" applyFont="1" applyAlignment="1">
      <alignment horizontal="center"/>
    </xf>
    <xf numFmtId="0" fontId="5" fillId="0" borderId="0" xfId="3" applyFo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49" fontId="7" fillId="0" borderId="2" xfId="0" applyNumberFormat="1" applyFont="1" applyBorder="1" applyAlignment="1">
      <alignment wrapText="1"/>
    </xf>
    <xf numFmtId="0" fontId="7" fillId="0" borderId="2" xfId="0" applyFont="1" applyBorder="1" applyAlignment="1">
      <alignment horizontal="center" vertical="center"/>
    </xf>
    <xf numFmtId="2" fontId="7" fillId="0" borderId="2" xfId="0" applyNumberFormat="1" applyFont="1" applyBorder="1" applyAlignment="1">
      <alignment horizontal="right" vertical="center"/>
    </xf>
    <xf numFmtId="49" fontId="20" fillId="3" borderId="2" xfId="0" applyNumberFormat="1" applyFont="1" applyFill="1" applyBorder="1" applyAlignment="1">
      <alignment wrapText="1"/>
    </xf>
    <xf numFmtId="0" fontId="20" fillId="3" borderId="2" xfId="0" applyFont="1" applyFill="1" applyBorder="1" applyAlignment="1">
      <alignment horizontal="center" vertical="center"/>
    </xf>
    <xf numFmtId="2" fontId="20" fillId="3" borderId="2" xfId="0" applyNumberFormat="1" applyFont="1" applyFill="1" applyBorder="1" applyAlignment="1">
      <alignment horizontal="right" vertical="center"/>
    </xf>
    <xf numFmtId="0" fontId="0" fillId="2" borderId="0" xfId="0" applyFill="1"/>
    <xf numFmtId="49" fontId="7" fillId="0" borderId="3" xfId="0" applyNumberFormat="1" applyFont="1" applyBorder="1" applyAlignment="1">
      <alignment wrapText="1"/>
    </xf>
    <xf numFmtId="0" fontId="7" fillId="0" borderId="3" xfId="0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right" vertical="center"/>
    </xf>
    <xf numFmtId="0" fontId="21" fillId="0" borderId="4" xfId="7" applyFont="1" applyBorder="1" applyAlignment="1">
      <alignment horizontal="right" vertical="center" wrapText="1"/>
    </xf>
    <xf numFmtId="0" fontId="21" fillId="0" borderId="5" xfId="7" applyFont="1" applyBorder="1" applyAlignment="1">
      <alignment horizontal="right" vertical="center" wrapText="1"/>
    </xf>
    <xf numFmtId="2" fontId="22" fillId="0" borderId="6" xfId="0" applyNumberFormat="1" applyFont="1" applyBorder="1" applyAlignment="1">
      <alignment horizontal="center" vertical="center"/>
    </xf>
    <xf numFmtId="0" fontId="8" fillId="0" borderId="7" xfId="0" applyFont="1" applyBorder="1"/>
    <xf numFmtId="2" fontId="7" fillId="0" borderId="8" xfId="0" applyNumberFormat="1" applyFont="1" applyBorder="1" applyAlignment="1">
      <alignment horizontal="right" vertical="center"/>
    </xf>
    <xf numFmtId="2" fontId="20" fillId="3" borderId="8" xfId="0" applyNumberFormat="1" applyFont="1" applyFill="1" applyBorder="1" applyAlignment="1">
      <alignment horizontal="right" vertical="center"/>
    </xf>
    <xf numFmtId="0" fontId="10" fillId="0" borderId="7" xfId="0" applyFont="1" applyBorder="1"/>
    <xf numFmtId="2" fontId="7" fillId="0" borderId="9" xfId="0" applyNumberFormat="1" applyFont="1" applyBorder="1" applyAlignment="1">
      <alignment horizontal="right" vertical="center"/>
    </xf>
    <xf numFmtId="0" fontId="11" fillId="0" borderId="10" xfId="0" applyFont="1" applyBorder="1" applyAlignment="1">
      <alignment horizontal="center"/>
    </xf>
    <xf numFmtId="0" fontId="8" fillId="0" borderId="11" xfId="0" applyFont="1" applyBorder="1"/>
    <xf numFmtId="49" fontId="7" fillId="0" borderId="12" xfId="0" applyNumberFormat="1" applyFont="1" applyBorder="1" applyAlignment="1">
      <alignment wrapText="1"/>
    </xf>
    <xf numFmtId="0" fontId="7" fillId="0" borderId="12" xfId="0" applyFont="1" applyBorder="1" applyAlignment="1">
      <alignment horizontal="center" vertical="center"/>
    </xf>
    <xf numFmtId="2" fontId="7" fillId="0" borderId="12" xfId="0" applyNumberFormat="1" applyFont="1" applyBorder="1" applyAlignment="1">
      <alignment horizontal="right" vertical="center"/>
    </xf>
    <xf numFmtId="2" fontId="7" fillId="0" borderId="13" xfId="0" applyNumberFormat="1" applyFont="1" applyBorder="1" applyAlignment="1">
      <alignment horizontal="right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</cellXfs>
  <cellStyles count="8">
    <cellStyle name="IvkDocStyle 1" xfId="2" xr:uid="{00000000-0005-0000-0000-000007000000}"/>
    <cellStyle name="IvkDocStyle 10" xfId="3" xr:uid="{00000000-0005-0000-0000-000008000000}"/>
    <cellStyle name="IvkDocStyle 37_Адмиральский СКУД" xfId="6" xr:uid="{00000000-0005-0000-0000-00000C000000}"/>
    <cellStyle name="IvkDocStyle 4" xfId="5" xr:uid="{00000000-0005-0000-0000-00000B000000}"/>
    <cellStyle name="IvkDocStyle 5" xfId="4" xr:uid="{00000000-0005-0000-0000-00000A000000}"/>
    <cellStyle name="IvkDocStyle 6" xfId="1" xr:uid="{00000000-0005-0000-0000-000006000000}"/>
    <cellStyle name="IvkDocStyle 66_Адмиральский СКУД" xfId="7" xr:uid="{00000000-0005-0000-0000-00000D000000}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1"/>
  <sheetViews>
    <sheetView topLeftCell="A2" zoomScaleNormal="100" workbookViewId="0">
      <pane ySplit="17" topLeftCell="A19" activePane="bottomLeft" state="frozen"/>
      <selection activeCell="A2" sqref="A2"/>
      <selection pane="bottomLeft" activeCell="A3" sqref="A3"/>
    </sheetView>
  </sheetViews>
  <sheetFormatPr defaultColWidth="11.5546875" defaultRowHeight="13.2" x14ac:dyDescent="0.25"/>
  <cols>
    <col min="2" max="2" width="63.88671875" customWidth="1"/>
    <col min="3" max="3" width="10.44140625" customWidth="1"/>
    <col min="4" max="4" width="9.21875" customWidth="1"/>
    <col min="5" max="5" width="13.21875" customWidth="1"/>
  </cols>
  <sheetData>
    <row r="2" spans="1:6" ht="15" x14ac:dyDescent="0.25">
      <c r="A2" s="18"/>
      <c r="B2" s="18"/>
      <c r="C2" s="18"/>
      <c r="D2" s="18"/>
      <c r="E2" s="18"/>
      <c r="F2" s="18"/>
    </row>
    <row r="3" spans="1:6" ht="12.75" customHeight="1" x14ac:dyDescent="0.25">
      <c r="A3" s="19" t="s">
        <v>0</v>
      </c>
      <c r="B3" s="19" t="s">
        <v>1</v>
      </c>
      <c r="C3" s="19" t="s">
        <v>2</v>
      </c>
      <c r="D3" s="19" t="s">
        <v>3</v>
      </c>
      <c r="E3" s="20" t="s">
        <v>4</v>
      </c>
      <c r="F3" s="19" t="s">
        <v>5</v>
      </c>
    </row>
    <row r="4" spans="1:6" x14ac:dyDescent="0.25">
      <c r="A4" s="19"/>
      <c r="B4" s="19"/>
      <c r="C4" s="19"/>
      <c r="D4" s="19"/>
      <c r="E4" s="19"/>
      <c r="F4" s="19"/>
    </row>
    <row r="5" spans="1:6" x14ac:dyDescent="0.25">
      <c r="A5" s="19"/>
      <c r="B5" s="19"/>
      <c r="C5" s="19"/>
      <c r="D5" s="19"/>
      <c r="E5" s="19"/>
      <c r="F5" s="19"/>
    </row>
    <row r="6" spans="1:6" ht="15.6" x14ac:dyDescent="0.3">
      <c r="A6" s="1"/>
      <c r="B6" s="2" t="s">
        <v>6</v>
      </c>
      <c r="C6" s="1"/>
      <c r="D6" s="1"/>
      <c r="E6" s="1"/>
      <c r="F6" s="1"/>
    </row>
    <row r="7" spans="1:6" ht="15.6" x14ac:dyDescent="0.3">
      <c r="A7" s="1"/>
      <c r="B7" s="3" t="s">
        <v>7</v>
      </c>
      <c r="C7" s="3" t="s">
        <v>8</v>
      </c>
      <c r="D7" s="3">
        <v>1</v>
      </c>
      <c r="E7" s="3">
        <v>4500</v>
      </c>
      <c r="F7" s="3">
        <f t="shared" ref="F7:F16" si="0">D7*E7</f>
        <v>4500</v>
      </c>
    </row>
    <row r="8" spans="1:6" ht="15.6" x14ac:dyDescent="0.3">
      <c r="A8" s="1"/>
      <c r="B8" s="3" t="s">
        <v>9</v>
      </c>
      <c r="C8" s="3" t="s">
        <v>8</v>
      </c>
      <c r="D8" s="3">
        <v>1</v>
      </c>
      <c r="E8" s="3">
        <v>12500</v>
      </c>
      <c r="F8" s="3">
        <f t="shared" si="0"/>
        <v>12500</v>
      </c>
    </row>
    <row r="9" spans="1:6" ht="15.6" x14ac:dyDescent="0.3">
      <c r="A9" s="1"/>
      <c r="B9" s="3" t="s">
        <v>10</v>
      </c>
      <c r="C9" s="3" t="s">
        <v>8</v>
      </c>
      <c r="D9" s="3"/>
      <c r="E9" s="3"/>
      <c r="F9" s="3">
        <f t="shared" si="0"/>
        <v>0</v>
      </c>
    </row>
    <row r="10" spans="1:6" ht="15.6" x14ac:dyDescent="0.3">
      <c r="A10" s="1"/>
      <c r="B10" s="3" t="s">
        <v>11</v>
      </c>
      <c r="C10" s="3" t="s">
        <v>8</v>
      </c>
      <c r="D10" s="3">
        <v>3</v>
      </c>
      <c r="E10" s="3">
        <v>1500</v>
      </c>
      <c r="F10" s="3">
        <f t="shared" si="0"/>
        <v>4500</v>
      </c>
    </row>
    <row r="11" spans="1:6" ht="15.6" x14ac:dyDescent="0.3">
      <c r="A11" s="1"/>
      <c r="B11" s="3" t="s">
        <v>12</v>
      </c>
      <c r="C11" s="3" t="s">
        <v>8</v>
      </c>
      <c r="D11" s="3">
        <v>5</v>
      </c>
      <c r="E11" s="3">
        <v>500</v>
      </c>
      <c r="F11" s="3">
        <f t="shared" si="0"/>
        <v>2500</v>
      </c>
    </row>
    <row r="12" spans="1:6" ht="15.6" x14ac:dyDescent="0.3">
      <c r="A12" s="1"/>
      <c r="B12" s="3" t="s">
        <v>13</v>
      </c>
      <c r="C12" s="3" t="s">
        <v>8</v>
      </c>
      <c r="D12" s="3">
        <v>16</v>
      </c>
      <c r="E12" s="3">
        <v>500</v>
      </c>
      <c r="F12" s="3">
        <f t="shared" si="0"/>
        <v>8000</v>
      </c>
    </row>
    <row r="13" spans="1:6" ht="15.6" x14ac:dyDescent="0.3">
      <c r="A13" s="1"/>
      <c r="B13" s="3" t="s">
        <v>14</v>
      </c>
      <c r="C13" s="3" t="s">
        <v>8</v>
      </c>
      <c r="D13" s="3">
        <v>51</v>
      </c>
      <c r="E13" s="3">
        <v>300</v>
      </c>
      <c r="F13" s="3">
        <f t="shared" si="0"/>
        <v>15300</v>
      </c>
    </row>
    <row r="14" spans="1:6" ht="15.6" x14ac:dyDescent="0.3">
      <c r="A14" s="1"/>
      <c r="B14" s="3" t="s">
        <v>15</v>
      </c>
      <c r="C14" s="3" t="s">
        <v>8</v>
      </c>
      <c r="D14" s="3">
        <v>10</v>
      </c>
      <c r="E14" s="3">
        <v>400</v>
      </c>
      <c r="F14" s="3">
        <f t="shared" si="0"/>
        <v>4000</v>
      </c>
    </row>
    <row r="15" spans="1:6" ht="26.1" customHeight="1" x14ac:dyDescent="0.3">
      <c r="A15" s="1"/>
      <c r="B15" s="4" t="s">
        <v>16</v>
      </c>
      <c r="C15" s="3" t="s">
        <v>8</v>
      </c>
      <c r="D15" s="3">
        <v>7</v>
      </c>
      <c r="E15" s="3">
        <v>300</v>
      </c>
      <c r="F15" s="3">
        <f t="shared" si="0"/>
        <v>2100</v>
      </c>
    </row>
    <row r="16" spans="1:6" ht="30.6" x14ac:dyDescent="0.3">
      <c r="A16" s="5"/>
      <c r="B16" s="4" t="s">
        <v>17</v>
      </c>
      <c r="C16" s="3" t="s">
        <v>8</v>
      </c>
      <c r="D16" s="3">
        <v>5</v>
      </c>
      <c r="E16" s="3">
        <v>300</v>
      </c>
      <c r="F16" s="3">
        <f t="shared" si="0"/>
        <v>1500</v>
      </c>
    </row>
    <row r="17" spans="1:6" ht="15" customHeight="1" x14ac:dyDescent="0.3">
      <c r="A17" s="6"/>
      <c r="B17" s="16" t="s">
        <v>18</v>
      </c>
      <c r="C17" s="16"/>
      <c r="D17" s="16"/>
      <c r="E17" s="16"/>
      <c r="F17" s="7">
        <f>SUM(F7:F16)</f>
        <v>54900</v>
      </c>
    </row>
    <row r="18" spans="1:6" ht="38.1" customHeight="1" x14ac:dyDescent="0.25">
      <c r="A18" s="8"/>
      <c r="B18" s="9"/>
      <c r="C18" s="9"/>
      <c r="D18" s="9"/>
      <c r="E18" s="9"/>
      <c r="F18" s="10"/>
    </row>
    <row r="19" spans="1:6" ht="40.950000000000003" customHeight="1" x14ac:dyDescent="0.25">
      <c r="A19" s="11"/>
      <c r="B19" s="12"/>
      <c r="C19" s="13"/>
      <c r="D19" s="13"/>
      <c r="E19" s="17"/>
      <c r="F19" s="17"/>
    </row>
    <row r="20" spans="1:6" x14ac:dyDescent="0.25">
      <c r="A20" s="14"/>
      <c r="B20" s="14"/>
    </row>
    <row r="21" spans="1:6" x14ac:dyDescent="0.25">
      <c r="A21" s="11"/>
      <c r="B21" s="11"/>
    </row>
  </sheetData>
  <mergeCells count="9">
    <mergeCell ref="B17:E17"/>
    <mergeCell ref="E19:F19"/>
    <mergeCell ref="A2:F2"/>
    <mergeCell ref="A3:A5"/>
    <mergeCell ref="B3:B5"/>
    <mergeCell ref="C3:C5"/>
    <mergeCell ref="D3:D5"/>
    <mergeCell ref="E3:E5"/>
    <mergeCell ref="F3:F5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15"/>
  <sheetViews>
    <sheetView tabSelected="1" zoomScaleNormal="100" workbookViewId="0">
      <selection activeCell="B19" sqref="B19"/>
    </sheetView>
  </sheetViews>
  <sheetFormatPr defaultColWidth="11.5546875" defaultRowHeight="13.2" x14ac:dyDescent="0.25"/>
  <cols>
    <col min="1" max="1" width="5.109375" customWidth="1"/>
    <col min="2" max="2" width="64.109375" customWidth="1"/>
    <col min="3" max="3" width="10.6640625" style="15" customWidth="1"/>
    <col min="4" max="4" width="9.109375" style="15" customWidth="1"/>
    <col min="5" max="5" width="11.5546875" style="15"/>
    <col min="6" max="6" width="12" style="15" bestFit="1" customWidth="1"/>
    <col min="7" max="7" width="2.88671875" customWidth="1"/>
  </cols>
  <sheetData>
    <row r="2" spans="1:8" ht="13.8" thickBot="1" x14ac:dyDescent="0.3"/>
    <row r="3" spans="1:8" ht="52.2" customHeight="1" thickBot="1" x14ac:dyDescent="0.3">
      <c r="A3" s="45" t="s">
        <v>0</v>
      </c>
      <c r="B3" s="46" t="s">
        <v>1</v>
      </c>
      <c r="C3" s="47" t="s">
        <v>2</v>
      </c>
      <c r="D3" s="47" t="s">
        <v>3</v>
      </c>
      <c r="E3" s="48" t="s">
        <v>4</v>
      </c>
      <c r="F3" s="49" t="s">
        <v>19</v>
      </c>
    </row>
    <row r="4" spans="1:8" ht="15.6" x14ac:dyDescent="0.3">
      <c r="A4" s="40"/>
      <c r="B4" s="41" t="s">
        <v>7</v>
      </c>
      <c r="C4" s="42" t="s">
        <v>8</v>
      </c>
      <c r="D4" s="43">
        <v>1</v>
      </c>
      <c r="E4" s="43">
        <v>4500</v>
      </c>
      <c r="F4" s="44">
        <f t="shared" ref="F4:F14" si="0">D4*E4</f>
        <v>4500</v>
      </c>
    </row>
    <row r="5" spans="1:8" ht="15.6" x14ac:dyDescent="0.3">
      <c r="A5" s="34"/>
      <c r="B5" s="21" t="s">
        <v>9</v>
      </c>
      <c r="C5" s="22" t="s">
        <v>8</v>
      </c>
      <c r="D5" s="23">
        <v>1</v>
      </c>
      <c r="E5" s="23">
        <v>12500</v>
      </c>
      <c r="F5" s="35">
        <f t="shared" si="0"/>
        <v>12500</v>
      </c>
    </row>
    <row r="6" spans="1:8" ht="15.6" x14ac:dyDescent="0.3">
      <c r="A6" s="34"/>
      <c r="B6" s="24" t="s">
        <v>10</v>
      </c>
      <c r="C6" s="25" t="s">
        <v>8</v>
      </c>
      <c r="D6" s="26">
        <v>2</v>
      </c>
      <c r="E6" s="26">
        <v>2500</v>
      </c>
      <c r="F6" s="36">
        <f t="shared" si="0"/>
        <v>5000</v>
      </c>
      <c r="H6" s="27" t="s">
        <v>20</v>
      </c>
    </row>
    <row r="7" spans="1:8" ht="15.6" x14ac:dyDescent="0.3">
      <c r="A7" s="34"/>
      <c r="B7" s="21" t="s">
        <v>11</v>
      </c>
      <c r="C7" s="22" t="s">
        <v>8</v>
      </c>
      <c r="D7" s="23">
        <v>3</v>
      </c>
      <c r="E7" s="23">
        <v>500</v>
      </c>
      <c r="F7" s="35">
        <f t="shared" si="0"/>
        <v>1500</v>
      </c>
    </row>
    <row r="8" spans="1:8" ht="15.6" x14ac:dyDescent="0.3">
      <c r="A8" s="34"/>
      <c r="B8" s="21" t="s">
        <v>22</v>
      </c>
      <c r="C8" s="22" t="s">
        <v>8</v>
      </c>
      <c r="D8" s="23">
        <v>5</v>
      </c>
      <c r="E8" s="23">
        <v>500</v>
      </c>
      <c r="F8" s="35">
        <f t="shared" si="0"/>
        <v>2500</v>
      </c>
    </row>
    <row r="9" spans="1:8" ht="15.6" x14ac:dyDescent="0.3">
      <c r="A9" s="34"/>
      <c r="B9" s="21" t="s">
        <v>23</v>
      </c>
      <c r="C9" s="22" t="s">
        <v>8</v>
      </c>
      <c r="D9" s="23">
        <v>16</v>
      </c>
      <c r="E9" s="23">
        <v>500</v>
      </c>
      <c r="F9" s="35">
        <f t="shared" si="0"/>
        <v>8000</v>
      </c>
      <c r="H9" s="27" t="s">
        <v>25</v>
      </c>
    </row>
    <row r="10" spans="1:8" ht="15.6" x14ac:dyDescent="0.3">
      <c r="A10" s="34"/>
      <c r="B10" s="21" t="s">
        <v>14</v>
      </c>
      <c r="C10" s="22" t="s">
        <v>8</v>
      </c>
      <c r="D10" s="23">
        <v>51</v>
      </c>
      <c r="E10" s="23">
        <v>300</v>
      </c>
      <c r="F10" s="35">
        <f t="shared" si="0"/>
        <v>15300</v>
      </c>
    </row>
    <row r="11" spans="1:8" ht="15.6" x14ac:dyDescent="0.3">
      <c r="A11" s="34"/>
      <c r="B11" s="21" t="s">
        <v>24</v>
      </c>
      <c r="C11" s="22" t="s">
        <v>8</v>
      </c>
      <c r="D11" s="23">
        <v>1</v>
      </c>
      <c r="E11" s="23">
        <v>2500</v>
      </c>
      <c r="F11" s="35">
        <f t="shared" si="0"/>
        <v>2500</v>
      </c>
      <c r="H11" s="27" t="s">
        <v>26</v>
      </c>
    </row>
    <row r="12" spans="1:8" ht="15.6" x14ac:dyDescent="0.3">
      <c r="A12" s="34"/>
      <c r="B12" s="21" t="s">
        <v>15</v>
      </c>
      <c r="C12" s="22" t="s">
        <v>8</v>
      </c>
      <c r="D12" s="23">
        <v>10</v>
      </c>
      <c r="E12" s="23">
        <v>400</v>
      </c>
      <c r="F12" s="35">
        <f t="shared" si="0"/>
        <v>4000</v>
      </c>
    </row>
    <row r="13" spans="1:8" ht="28.35" customHeight="1" x14ac:dyDescent="0.3">
      <c r="A13" s="34"/>
      <c r="B13" s="21" t="s">
        <v>21</v>
      </c>
      <c r="C13" s="22" t="s">
        <v>8</v>
      </c>
      <c r="D13" s="23">
        <v>7</v>
      </c>
      <c r="E13" s="23">
        <v>300</v>
      </c>
      <c r="F13" s="35">
        <f t="shared" si="0"/>
        <v>2100</v>
      </c>
    </row>
    <row r="14" spans="1:8" ht="29.85" customHeight="1" thickBot="1" x14ac:dyDescent="0.35">
      <c r="A14" s="37"/>
      <c r="B14" s="28" t="s">
        <v>17</v>
      </c>
      <c r="C14" s="29" t="s">
        <v>8</v>
      </c>
      <c r="D14" s="30">
        <v>6</v>
      </c>
      <c r="E14" s="30">
        <v>300</v>
      </c>
      <c r="F14" s="38">
        <f t="shared" si="0"/>
        <v>1800</v>
      </c>
    </row>
    <row r="15" spans="1:8" ht="15" customHeight="1" thickBot="1" x14ac:dyDescent="0.35">
      <c r="A15" s="39"/>
      <c r="B15" s="31" t="s">
        <v>18</v>
      </c>
      <c r="C15" s="32"/>
      <c r="D15" s="32"/>
      <c r="E15" s="32"/>
      <c r="F15" s="33">
        <f>SUM(F4:F14)</f>
        <v>59700</v>
      </c>
    </row>
  </sheetData>
  <mergeCells count="1">
    <mergeCell ref="B15:E15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Marmusevych, Oleksii</cp:lastModifiedBy>
  <cp:revision>2</cp:revision>
  <dcterms:created xsi:type="dcterms:W3CDTF">2026-09-30T20:58:11Z</dcterms:created>
  <dcterms:modified xsi:type="dcterms:W3CDTF">2026-10-01T16:04:58Z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2026-09-30T20:19:05Z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98118b80-f98f-4120-bc5e-6e6846c7b2d9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